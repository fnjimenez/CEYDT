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C:\Users\fnjim\Documents\SABES\ESTUDIO Y DISEÑO DEL TRABAJO\"/>
    </mc:Choice>
  </mc:AlternateContent>
  <xr:revisionPtr revIDLastSave="0" documentId="8_{7C1B7B44-1FF3-431C-8356-EE2301CE3EDA}" xr6:coauthVersionLast="47" xr6:coauthVersionMax="47" xr10:uidLastSave="{00000000-0000-0000-0000-000000000000}"/>
  <bookViews>
    <workbookView xWindow="-108" yWindow="-108" windowWidth="23256" windowHeight="12576" xr2:uid="{F730BE66-A39F-4779-A6D5-55EE510C209F}"/>
  </bookViews>
  <sheets>
    <sheet name="observaciones_trabajo" sheetId="1" r:id="rId1"/>
  </sheets>
  <calcPr calcId="0"/>
</workbook>
</file>

<file path=xl/calcChain.xml><?xml version="1.0" encoding="utf-8"?>
<calcChain xmlns="http://schemas.openxmlformats.org/spreadsheetml/2006/main">
  <c r="F2" i="1" l="1"/>
  <c r="G2" i="1" s="1"/>
  <c r="N2" i="1" l="1"/>
  <c r="L2" i="1"/>
  <c r="J2" i="1"/>
  <c r="O2" i="1" l="1"/>
  <c r="Q2" i="1" s="1"/>
  <c r="S2" i="1" s="1"/>
  <c r="T2" i="1" s="1"/>
  <c r="W2" i="1" s="1"/>
  <c r="U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fnjim</author>
  </authors>
  <commentList>
    <comment ref="C1" authorId="0" shapeId="0" xr:uid="{0132B12F-9698-4C67-B4D8-FBC602E2A8A6}">
      <text>
        <r>
          <rPr>
            <b/>
            <sz val="9"/>
            <color indexed="81"/>
            <rFont val="Tahoma"/>
            <family val="2"/>
          </rPr>
          <t>fnjim:</t>
        </r>
        <r>
          <rPr>
            <sz val="9"/>
            <color indexed="81"/>
            <rFont val="Tahoma"/>
            <family val="2"/>
          </rPr>
          <t xml:space="preserve">
Los valores de Tiempo Observado (TO), Valoración (%) y Suplemento (%) varían para el mismo operario por varias razones:
Tiempo Observado (TO): Puede variar debido a fluctuaciones en la velocidad o condiciones de trabajo del operario. El operario puede haber trabajado más rápido o más lento en diferentes momentos debido a factores como la complejidad de la tarea o interrupciones.
Valoración (%): La valoración es un ajuste subjetivo que refleja el rendimiento del operario en comparación con un ritmo estándar. Si el operario trabaja más rápido o más lentamente que el ritmo estándar, el factor de valoración cambia para reflejar esa variación.
Suplemento (%): Los suplementos cubren factores como la fatiga, las necesidades personales y los retrasos imprevistos. Estos pueden variar dependiendo de las condiciones del entorno, la dificultad de la tarea, o incluso la fatiga acumulada del operario.</t>
        </r>
      </text>
    </comment>
    <comment ref="I1" authorId="0" shapeId="0" xr:uid="{CB4CB5F0-63F2-4029-93DE-444024FFAE4F}">
      <text>
        <r>
          <rPr>
            <b/>
            <sz val="9"/>
            <color indexed="81"/>
            <rFont val="Tahoma"/>
            <family val="2"/>
          </rPr>
          <t>fnjim:</t>
        </r>
        <r>
          <rPr>
            <sz val="9"/>
            <color indexed="81"/>
            <rFont val="Tahoma"/>
            <family val="2"/>
          </rPr>
          <t xml:space="preserve">
según las mejores prácticas, los valores de los factores de suplemento deberían ser consistentes para todas las observaciones de la misma operación en condiciones similares. Las variaciones en los suplementos generalmente solo ocurren cuando hay cambios significativos en las condiciones de trabajo.</t>
        </r>
      </text>
    </comment>
    <comment ref="K1" authorId="0" shapeId="0" xr:uid="{5E429F65-6B40-4B4C-998B-AAC5E52E6823}">
      <text>
        <r>
          <rPr>
            <b/>
            <sz val="9"/>
            <color indexed="81"/>
            <rFont val="Tahoma"/>
            <family val="2"/>
          </rPr>
          <t>fnjim:</t>
        </r>
        <r>
          <rPr>
            <sz val="9"/>
            <color indexed="81"/>
            <rFont val="Tahoma"/>
            <family val="2"/>
          </rPr>
          <t xml:space="preserve">
según las mejores prácticas, los valores de los factores de suplemento deberían ser consistentes para todas las observaciones de la misma operación en condiciones similares. Las variaciones en los suplementos generalmente solo ocurren cuando hay cambios significativos en las condiciones de trabajo.</t>
        </r>
      </text>
    </comment>
    <comment ref="M1" authorId="0" shapeId="0" xr:uid="{04513ABE-C2C0-4899-A9FD-DF9318CBE563}">
      <text>
        <r>
          <rPr>
            <b/>
            <sz val="9"/>
            <color indexed="81"/>
            <rFont val="Tahoma"/>
            <family val="2"/>
          </rPr>
          <t>fnjim:</t>
        </r>
        <r>
          <rPr>
            <sz val="9"/>
            <color indexed="81"/>
            <rFont val="Tahoma"/>
            <family val="2"/>
          </rPr>
          <t xml:space="preserve">
según las mejores prácticas, los valores de los factores de suplemento deberían ser consistentes para todas las observaciones de la misma operación en condiciones similares. Las variaciones en los suplementos generalmente solo ocurren cuando hay cambios significativos en las condiciones de trabajo.</t>
        </r>
      </text>
    </comment>
    <comment ref="G2" authorId="0" shapeId="0" xr:uid="{862D1959-49BC-4561-850C-57A3635862A9}">
      <text>
        <r>
          <rPr>
            <b/>
            <sz val="9"/>
            <color indexed="81"/>
            <rFont val="Tahoma"/>
            <charset val="1"/>
          </rPr>
          <t>fnjim:</t>
        </r>
        <r>
          <rPr>
            <sz val="9"/>
            <color indexed="81"/>
            <rFont val="Tahoma"/>
            <charset val="1"/>
          </rPr>
          <t xml:space="preserve">
TB porque es una operación cícilica.
</t>
        </r>
      </text>
    </comment>
    <comment ref="H2" authorId="0" shapeId="0" xr:uid="{6B91BE99-C13C-4274-BC60-E9113A4E58C8}">
      <text>
        <r>
          <rPr>
            <b/>
            <sz val="9"/>
            <color indexed="81"/>
            <rFont val="Tahoma"/>
            <charset val="1"/>
          </rPr>
          <t>fnjim:</t>
        </r>
        <r>
          <rPr>
            <sz val="9"/>
            <color indexed="81"/>
            <rFont val="Tahoma"/>
            <charset val="1"/>
          </rPr>
          <t xml:space="preserve">
No hay elementos acíclicos reportados
</t>
        </r>
      </text>
    </comment>
  </commentList>
</comments>
</file>

<file path=xl/sharedStrings.xml><?xml version="1.0" encoding="utf-8"?>
<sst xmlns="http://schemas.openxmlformats.org/spreadsheetml/2006/main" count="123" uniqueCount="24">
  <si>
    <t>Operario</t>
  </si>
  <si>
    <t>Suplemento (%)</t>
  </si>
  <si>
    <t>CNC1 (Torneado Eje de Levas)</t>
  </si>
  <si>
    <t>Operario 1</t>
  </si>
  <si>
    <t>Máquina/ Operación</t>
  </si>
  <si>
    <t>Valoración (%)</t>
  </si>
  <si>
    <t>Factor de Fatiga del Suplemento %</t>
  </si>
  <si>
    <r>
      <t xml:space="preserve">Tiempo Observado </t>
    </r>
    <r>
      <rPr>
        <b/>
        <i/>
        <sz val="11"/>
        <color theme="1"/>
        <rFont val="Aptos Narrow"/>
        <family val="2"/>
        <scheme val="minor"/>
      </rPr>
      <t>TO</t>
    </r>
    <r>
      <rPr>
        <b/>
        <sz val="11"/>
        <color theme="1"/>
        <rFont val="Aptos Narrow"/>
        <family val="2"/>
        <scheme val="minor"/>
      </rPr>
      <t xml:space="preserve"> (min)</t>
    </r>
  </si>
  <si>
    <t>Tiempo Básico TB (min)</t>
  </si>
  <si>
    <t>Elementos Cíclicos  (min)</t>
  </si>
  <si>
    <t>Elementos Acíclicos  (min)</t>
  </si>
  <si>
    <t>Tiempo de Fatiga TF (min)</t>
  </si>
  <si>
    <t>Necesidades Personales (min)</t>
  </si>
  <si>
    <t>Factor Tiempo Inactivo %</t>
  </si>
  <si>
    <t>Tiempo Inactivo (min)</t>
  </si>
  <si>
    <t>Suplemento Total (min)</t>
  </si>
  <si>
    <t>Frecuencia (veces/ciclo)</t>
  </si>
  <si>
    <t>Tiempo Total (min)</t>
  </si>
  <si>
    <t>Suplemento Adicional %</t>
  </si>
  <si>
    <t>Eficiencia %</t>
  </si>
  <si>
    <t>Productividad %</t>
  </si>
  <si>
    <t>Productividad esperada (pzas/hr)</t>
  </si>
  <si>
    <t>Work Standard WS (min)</t>
  </si>
  <si>
    <t>Piezas por Hora (pzas/hr)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</si>
</sst>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indexed="81"/>
      <name val="Tahoma"/>
      <charset val="1"/>
    </font>
    <font>
      <b/>
      <sz val="9"/>
      <color indexed="81"/>
      <name val="Tahoma"/>
      <charset val="1"/>
    </font>
    <font>
      <b/>
      <i/>
      <sz val="11"/>
      <color theme="1"/>
      <name val="Aptos Narrow"/>
      <family val="2"/>
      <scheme val="minor"/>
    </font>
    <font>
      <sz val="9"/>
      <color indexed="81"/>
      <name val="Tahoma"/>
      <family val="2"/>
    </font>
    <font>
      <b/>
      <sz val="9"/>
      <color indexed="81"/>
      <name val="Tahoma"/>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applyAlignment="1">
      <alignment wrapText="1"/>
    </xf>
    <xf numFmtId="0" fontId="0" fillId="33" borderId="0" xfId="0" applyFill="1"/>
    <xf numFmtId="0" fontId="16" fillId="34" borderId="10" xfId="0" applyFont="1" applyFill="1" applyBorder="1" applyAlignment="1">
      <alignment horizontal="center" wrapText="1"/>
    </xf>
    <xf numFmtId="1" fontId="0" fillId="0" borderId="0" xfId="0" applyNumberFormat="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F381-37C2-4252-AA14-314C9DC3D4C5}">
  <dimension ref="A1:W51"/>
  <sheetViews>
    <sheetView tabSelected="1" zoomScale="75" zoomScaleNormal="75" workbookViewId="0">
      <selection activeCell="H16" sqref="H16"/>
    </sheetView>
  </sheetViews>
  <sheetFormatPr defaultRowHeight="14.4"/>
  <cols>
    <col min="1" max="1" width="34.88671875" customWidth="1"/>
    <col min="2" max="2" width="10" customWidth="1"/>
    <col min="3" max="3" width="9.88671875" customWidth="1"/>
    <col min="4" max="4" width="10.21875" customWidth="1"/>
    <col min="5" max="5" width="12.109375" customWidth="1"/>
    <col min="7" max="7" width="10.21875" customWidth="1"/>
    <col min="8" max="8" width="10.109375" customWidth="1"/>
    <col min="9" max="9" width="12.6640625" customWidth="1"/>
    <col min="10" max="10" width="11.33203125" customWidth="1"/>
    <col min="11" max="11" width="12.6640625" customWidth="1"/>
    <col min="12" max="12" width="10.5546875" customWidth="1"/>
    <col min="13" max="13" width="8.21875" customWidth="1"/>
    <col min="15" max="15" width="13.21875" customWidth="1"/>
    <col min="16" max="16" width="12.109375" customWidth="1"/>
    <col min="18" max="18" width="12.109375" customWidth="1"/>
    <col min="21" max="21" width="10.33203125" customWidth="1"/>
    <col min="22" max="22" width="13.77734375" customWidth="1"/>
    <col min="23" max="23" width="13.21875" customWidth="1"/>
  </cols>
  <sheetData>
    <row r="1" spans="1:23" s="1" customFormat="1" ht="57.6">
      <c r="A1" s="3" t="s">
        <v>4</v>
      </c>
      <c r="B1" s="3" t="s">
        <v>0</v>
      </c>
      <c r="C1" s="3" t="s">
        <v>7</v>
      </c>
      <c r="D1" s="3" t="s">
        <v>5</v>
      </c>
      <c r="E1" s="3" t="s">
        <v>1</v>
      </c>
      <c r="F1" s="3" t="s">
        <v>8</v>
      </c>
      <c r="G1" s="3" t="s">
        <v>9</v>
      </c>
      <c r="H1" s="3" t="s">
        <v>10</v>
      </c>
      <c r="I1" s="3" t="s">
        <v>6</v>
      </c>
      <c r="J1" s="3" t="s">
        <v>11</v>
      </c>
      <c r="K1" s="3" t="s">
        <v>6</v>
      </c>
      <c r="L1" s="3" t="s">
        <v>12</v>
      </c>
      <c r="M1" s="3" t="s">
        <v>13</v>
      </c>
      <c r="N1" s="3" t="s">
        <v>14</v>
      </c>
      <c r="O1" s="3" t="s">
        <v>15</v>
      </c>
      <c r="P1" s="3" t="s">
        <v>16</v>
      </c>
      <c r="Q1" s="3" t="s">
        <v>17</v>
      </c>
      <c r="R1" s="3" t="s">
        <v>18</v>
      </c>
      <c r="S1" s="3" t="s">
        <v>22</v>
      </c>
      <c r="T1" s="3" t="s">
        <v>23</v>
      </c>
      <c r="U1" s="3" t="s">
        <v>19</v>
      </c>
      <c r="V1" s="3" t="s">
        <v>21</v>
      </c>
      <c r="W1" s="3" t="s">
        <v>20</v>
      </c>
    </row>
    <row r="2" spans="1:23">
      <c r="A2" t="s">
        <v>2</v>
      </c>
      <c r="B2" t="s">
        <v>3</v>
      </c>
      <c r="C2">
        <v>10.4</v>
      </c>
      <c r="D2">
        <v>99</v>
      </c>
      <c r="E2">
        <v>13</v>
      </c>
      <c r="F2">
        <f>C2*(D2/100)</f>
        <v>10.295999999999999</v>
      </c>
      <c r="G2">
        <f>F2</f>
        <v>10.295999999999999</v>
      </c>
      <c r="H2" s="2">
        <v>0</v>
      </c>
      <c r="I2">
        <v>3.3</v>
      </c>
      <c r="J2">
        <f>F2 * (I2%)</f>
        <v>0.33976800000000001</v>
      </c>
      <c r="K2">
        <v>2.2999999999999998</v>
      </c>
      <c r="L2">
        <f xml:space="preserve"> F2* (K2%)</f>
        <v>0.23680799999999999</v>
      </c>
      <c r="M2">
        <v>0.3296</v>
      </c>
      <c r="N2">
        <f>F2*(M2%)</f>
        <v>3.3935615999999995E-2</v>
      </c>
      <c r="O2">
        <f>J2+L2+N2</f>
        <v>0.61051161599999992</v>
      </c>
      <c r="P2">
        <v>10</v>
      </c>
      <c r="Q2">
        <f>F2+O2</f>
        <v>10.906511616</v>
      </c>
      <c r="R2">
        <v>1.7</v>
      </c>
      <c r="S2">
        <f>Q2*(1+(P2%))</f>
        <v>11.9971627776</v>
      </c>
      <c r="T2" s="4">
        <f>60/S2</f>
        <v>5.0011824555741207</v>
      </c>
      <c r="U2" s="4">
        <f>(F2/Q2)*100</f>
        <v>94.402320031417091</v>
      </c>
      <c r="V2">
        <v>4.5999999999999996</v>
      </c>
      <c r="W2" s="4">
        <f>(T2/V2)*100</f>
        <v>108.7213577298722</v>
      </c>
    </row>
    <row r="3" spans="1:23">
      <c r="A3" t="s">
        <v>2</v>
      </c>
      <c r="B3" t="s">
        <v>3</v>
      </c>
      <c r="C3">
        <v>11.22</v>
      </c>
      <c r="D3">
        <v>98</v>
      </c>
      <c r="E3">
        <v>13</v>
      </c>
      <c r="F3" s="5"/>
      <c r="G3" s="5"/>
      <c r="H3" s="5"/>
      <c r="I3">
        <v>3.4</v>
      </c>
      <c r="J3" s="5"/>
      <c r="K3">
        <v>2.4</v>
      </c>
      <c r="M3">
        <v>0.46200000000000002</v>
      </c>
      <c r="N3" s="5"/>
      <c r="O3" s="5"/>
      <c r="P3">
        <v>10</v>
      </c>
      <c r="R3">
        <v>1</v>
      </c>
      <c r="S3" s="5"/>
      <c r="T3" s="5"/>
      <c r="U3" s="5"/>
      <c r="V3">
        <v>4.5</v>
      </c>
      <c r="W3" s="5"/>
    </row>
    <row r="4" spans="1:23">
      <c r="A4" t="s">
        <v>2</v>
      </c>
      <c r="B4" t="s">
        <v>3</v>
      </c>
      <c r="C4">
        <v>9.19</v>
      </c>
      <c r="D4">
        <v>102</v>
      </c>
      <c r="E4">
        <v>11</v>
      </c>
      <c r="F4" s="5"/>
      <c r="G4" s="5"/>
      <c r="H4" s="5"/>
      <c r="I4">
        <v>3.9</v>
      </c>
      <c r="J4" s="5"/>
      <c r="K4">
        <v>3.6</v>
      </c>
      <c r="M4">
        <v>0.35610000000000003</v>
      </c>
      <c r="N4" s="5"/>
      <c r="O4" s="5"/>
      <c r="P4">
        <v>10</v>
      </c>
      <c r="R4">
        <v>1</v>
      </c>
      <c r="S4" s="5"/>
      <c r="T4" s="5"/>
      <c r="U4" s="5"/>
      <c r="V4">
        <v>5.5</v>
      </c>
      <c r="W4" s="5"/>
    </row>
    <row r="5" spans="1:23">
      <c r="A5" t="s">
        <v>2</v>
      </c>
      <c r="B5" t="s">
        <v>3</v>
      </c>
      <c r="C5">
        <v>8.8699999999999992</v>
      </c>
      <c r="D5">
        <v>94</v>
      </c>
      <c r="E5">
        <v>13</v>
      </c>
      <c r="F5" s="5"/>
      <c r="G5" s="5"/>
      <c r="H5" s="5"/>
      <c r="I5">
        <v>3.1</v>
      </c>
      <c r="J5" s="5"/>
      <c r="K5">
        <v>3.9</v>
      </c>
      <c r="M5">
        <v>0.57550000000000001</v>
      </c>
      <c r="N5" s="5"/>
      <c r="O5" s="5"/>
      <c r="P5">
        <v>10</v>
      </c>
      <c r="R5">
        <v>1.6</v>
      </c>
      <c r="S5" s="5"/>
      <c r="T5" s="5"/>
      <c r="U5" s="5"/>
      <c r="V5">
        <v>5.4</v>
      </c>
      <c r="W5" s="5"/>
    </row>
    <row r="6" spans="1:23">
      <c r="A6" t="s">
        <v>2</v>
      </c>
      <c r="B6" t="s">
        <v>3</v>
      </c>
      <c r="C6">
        <v>9.52</v>
      </c>
      <c r="D6">
        <v>109</v>
      </c>
      <c r="E6">
        <v>12</v>
      </c>
      <c r="F6" s="5"/>
      <c r="G6" s="5"/>
      <c r="H6" s="5"/>
      <c r="I6">
        <v>3.1</v>
      </c>
      <c r="J6" s="5"/>
      <c r="K6">
        <v>3.8</v>
      </c>
      <c r="M6">
        <v>0.41520000000000001</v>
      </c>
      <c r="N6" s="5"/>
      <c r="O6" s="5"/>
      <c r="P6">
        <v>10</v>
      </c>
      <c r="R6">
        <v>1.3</v>
      </c>
      <c r="S6" s="5"/>
      <c r="T6" s="5"/>
      <c r="U6" s="5"/>
      <c r="V6">
        <v>4.5</v>
      </c>
      <c r="W6" s="5"/>
    </row>
    <row r="7" spans="1:23">
      <c r="A7" t="s">
        <v>2</v>
      </c>
      <c r="B7" t="s">
        <v>3</v>
      </c>
      <c r="C7">
        <v>9.15</v>
      </c>
      <c r="D7">
        <v>93</v>
      </c>
      <c r="E7">
        <v>12</v>
      </c>
      <c r="F7" s="5"/>
      <c r="G7" s="5"/>
      <c r="H7" s="5"/>
      <c r="I7">
        <v>4.9000000000000004</v>
      </c>
      <c r="J7" s="5"/>
      <c r="K7">
        <v>3.6</v>
      </c>
      <c r="M7">
        <v>0.57869999999999999</v>
      </c>
      <c r="N7" s="5"/>
      <c r="O7" s="5"/>
      <c r="P7">
        <v>10</v>
      </c>
      <c r="R7">
        <v>1.8</v>
      </c>
      <c r="S7" s="5"/>
      <c r="T7" s="5"/>
      <c r="U7" s="5"/>
      <c r="V7">
        <v>5.5</v>
      </c>
      <c r="W7" s="5"/>
    </row>
    <row r="8" spans="1:23">
      <c r="A8" t="s">
        <v>2</v>
      </c>
      <c r="B8" t="s">
        <v>3</v>
      </c>
      <c r="C8">
        <v>9.91</v>
      </c>
      <c r="D8">
        <v>98</v>
      </c>
      <c r="E8">
        <v>10</v>
      </c>
      <c r="F8" s="5"/>
      <c r="G8" s="5"/>
      <c r="H8" s="5"/>
      <c r="I8">
        <v>4.7</v>
      </c>
      <c r="J8" s="5"/>
      <c r="K8">
        <v>2.7</v>
      </c>
      <c r="M8">
        <v>0.39810000000000001</v>
      </c>
      <c r="N8" s="5"/>
      <c r="O8" s="5"/>
      <c r="P8">
        <v>10</v>
      </c>
      <c r="R8">
        <v>1.1000000000000001</v>
      </c>
      <c r="S8" s="5"/>
      <c r="T8" s="5"/>
      <c r="U8" s="5"/>
      <c r="V8">
        <v>5.3</v>
      </c>
      <c r="W8" s="5"/>
    </row>
    <row r="9" spans="1:23">
      <c r="A9" t="s">
        <v>2</v>
      </c>
      <c r="B9" t="s">
        <v>3</v>
      </c>
      <c r="C9">
        <v>9.42</v>
      </c>
      <c r="D9">
        <v>97</v>
      </c>
      <c r="E9">
        <v>13</v>
      </c>
      <c r="F9" s="5"/>
      <c r="G9" s="5"/>
      <c r="H9" s="5"/>
      <c r="I9">
        <v>3</v>
      </c>
      <c r="J9" s="5"/>
      <c r="K9">
        <v>3.6</v>
      </c>
      <c r="M9">
        <v>0.53010000000000002</v>
      </c>
      <c r="N9" s="5"/>
      <c r="O9" s="5"/>
      <c r="P9">
        <v>10</v>
      </c>
      <c r="R9">
        <v>1.5</v>
      </c>
      <c r="S9" s="5"/>
      <c r="T9" s="5"/>
      <c r="U9" s="5"/>
      <c r="V9">
        <v>5.6</v>
      </c>
      <c r="W9" s="5"/>
    </row>
    <row r="10" spans="1:23">
      <c r="A10" t="s">
        <v>2</v>
      </c>
      <c r="B10" t="s">
        <v>3</v>
      </c>
      <c r="C10">
        <v>9.33</v>
      </c>
      <c r="D10">
        <v>98</v>
      </c>
      <c r="E10">
        <v>12</v>
      </c>
      <c r="F10" s="5"/>
      <c r="G10" s="5"/>
      <c r="H10" s="5"/>
      <c r="I10">
        <v>3.7</v>
      </c>
      <c r="J10" s="5"/>
      <c r="K10">
        <v>2.1</v>
      </c>
      <c r="M10">
        <v>0.38390000000000002</v>
      </c>
      <c r="N10" s="5"/>
      <c r="O10" s="5"/>
      <c r="P10">
        <v>10</v>
      </c>
      <c r="R10">
        <v>0.7</v>
      </c>
      <c r="S10" s="5"/>
      <c r="T10" s="5"/>
      <c r="U10" s="5"/>
      <c r="V10">
        <v>5.6</v>
      </c>
      <c r="W10" s="5"/>
    </row>
    <row r="11" spans="1:23">
      <c r="A11" t="s">
        <v>2</v>
      </c>
      <c r="B11" t="s">
        <v>3</v>
      </c>
      <c r="C11">
        <v>10.78</v>
      </c>
      <c r="D11">
        <v>100</v>
      </c>
      <c r="E11">
        <v>14</v>
      </c>
      <c r="F11" s="5"/>
      <c r="G11" s="5"/>
      <c r="H11" s="5"/>
      <c r="I11">
        <v>3.2</v>
      </c>
      <c r="J11" s="5"/>
      <c r="K11">
        <v>3.4</v>
      </c>
      <c r="M11">
        <v>0.64680000000000004</v>
      </c>
      <c r="N11" s="5"/>
      <c r="O11" s="5"/>
      <c r="P11">
        <v>10</v>
      </c>
      <c r="R11">
        <v>1.1000000000000001</v>
      </c>
      <c r="S11" s="5"/>
      <c r="T11" s="5"/>
      <c r="U11" s="5"/>
      <c r="V11">
        <v>4.7</v>
      </c>
      <c r="W11" s="5"/>
    </row>
    <row r="12" spans="1:23">
      <c r="A12" t="s">
        <v>2</v>
      </c>
      <c r="B12" t="s">
        <v>3</v>
      </c>
      <c r="C12">
        <v>7.9</v>
      </c>
      <c r="D12">
        <v>104</v>
      </c>
      <c r="E12">
        <v>12</v>
      </c>
      <c r="F12" s="5"/>
      <c r="G12" s="5"/>
      <c r="H12" s="5"/>
      <c r="I12">
        <v>3.6</v>
      </c>
      <c r="J12" s="5"/>
      <c r="K12">
        <v>3</v>
      </c>
      <c r="M12">
        <v>0.54249999999999998</v>
      </c>
      <c r="N12" s="5"/>
      <c r="O12" s="5"/>
      <c r="P12">
        <v>10</v>
      </c>
      <c r="R12">
        <v>0.5</v>
      </c>
      <c r="S12" s="5"/>
      <c r="T12" s="5"/>
      <c r="U12" s="5"/>
      <c r="V12">
        <v>5.5</v>
      </c>
      <c r="W12" s="5"/>
    </row>
    <row r="13" spans="1:23">
      <c r="A13" t="s">
        <v>2</v>
      </c>
      <c r="B13" t="s">
        <v>3</v>
      </c>
      <c r="C13">
        <v>9.76</v>
      </c>
      <c r="D13">
        <v>96</v>
      </c>
      <c r="E13">
        <v>11</v>
      </c>
      <c r="F13" s="5"/>
      <c r="G13" s="5"/>
      <c r="H13" s="5"/>
      <c r="I13">
        <v>4.9000000000000004</v>
      </c>
      <c r="J13" s="5"/>
      <c r="K13">
        <v>3.6</v>
      </c>
      <c r="M13">
        <v>0.51529999999999998</v>
      </c>
      <c r="N13" s="5"/>
      <c r="O13" s="5"/>
      <c r="P13">
        <v>10</v>
      </c>
      <c r="R13">
        <v>1.7</v>
      </c>
      <c r="S13" s="5"/>
      <c r="T13" s="5"/>
      <c r="U13" s="5"/>
      <c r="V13">
        <v>5.6</v>
      </c>
      <c r="W13" s="5"/>
    </row>
    <row r="14" spans="1:23">
      <c r="A14" t="s">
        <v>2</v>
      </c>
      <c r="B14" t="s">
        <v>3</v>
      </c>
      <c r="C14">
        <v>10.08</v>
      </c>
      <c r="D14">
        <v>105</v>
      </c>
      <c r="E14">
        <v>11</v>
      </c>
      <c r="F14" s="5"/>
      <c r="G14" s="5"/>
      <c r="H14" s="5"/>
      <c r="I14">
        <v>3.5</v>
      </c>
      <c r="J14" s="5"/>
      <c r="K14">
        <v>2.9</v>
      </c>
      <c r="M14">
        <v>0.66649999999999998</v>
      </c>
      <c r="N14" s="5"/>
      <c r="O14" s="5"/>
      <c r="P14">
        <v>10</v>
      </c>
      <c r="R14">
        <v>1.7</v>
      </c>
      <c r="S14" s="5"/>
      <c r="T14" s="5"/>
      <c r="U14" s="5"/>
      <c r="V14">
        <v>4.4000000000000004</v>
      </c>
      <c r="W14" s="5"/>
    </row>
    <row r="15" spans="1:23">
      <c r="A15" t="s">
        <v>2</v>
      </c>
      <c r="B15" t="s">
        <v>3</v>
      </c>
      <c r="C15">
        <v>9.74</v>
      </c>
      <c r="D15">
        <v>93</v>
      </c>
      <c r="E15">
        <v>11</v>
      </c>
      <c r="F15" s="5"/>
      <c r="G15" s="5"/>
      <c r="H15" s="5"/>
      <c r="I15">
        <v>3.2</v>
      </c>
      <c r="J15" s="5"/>
      <c r="K15">
        <v>2.7</v>
      </c>
      <c r="M15">
        <v>0.61609999999999998</v>
      </c>
      <c r="N15" s="5"/>
      <c r="O15" s="5"/>
      <c r="P15">
        <v>10</v>
      </c>
      <c r="R15">
        <v>0.6</v>
      </c>
      <c r="S15" s="5"/>
      <c r="T15" s="5"/>
      <c r="U15" s="5"/>
      <c r="V15">
        <v>5.5</v>
      </c>
      <c r="W15" s="5"/>
    </row>
    <row r="16" spans="1:23">
      <c r="A16" t="s">
        <v>2</v>
      </c>
      <c r="B16" t="s">
        <v>3</v>
      </c>
      <c r="C16">
        <v>10.210000000000001</v>
      </c>
      <c r="D16">
        <v>100</v>
      </c>
      <c r="E16">
        <v>10</v>
      </c>
      <c r="F16" s="5"/>
      <c r="G16" s="5"/>
      <c r="H16" s="5"/>
      <c r="I16">
        <v>3.6</v>
      </c>
      <c r="J16" s="5"/>
      <c r="K16">
        <v>2.1</v>
      </c>
      <c r="M16">
        <v>0.55130000000000001</v>
      </c>
      <c r="N16" s="5"/>
      <c r="O16" s="5"/>
      <c r="P16">
        <v>10</v>
      </c>
      <c r="R16">
        <v>1</v>
      </c>
      <c r="S16" s="5"/>
      <c r="T16" s="5"/>
      <c r="U16" s="5"/>
      <c r="V16">
        <v>4.4000000000000004</v>
      </c>
      <c r="W16" s="5"/>
    </row>
    <row r="17" spans="1:23">
      <c r="A17" t="s">
        <v>2</v>
      </c>
      <c r="B17" t="s">
        <v>3</v>
      </c>
      <c r="C17">
        <v>9.98</v>
      </c>
      <c r="D17">
        <v>99</v>
      </c>
      <c r="E17">
        <v>12</v>
      </c>
      <c r="F17" s="5"/>
      <c r="G17" s="5"/>
      <c r="H17" s="5"/>
      <c r="I17">
        <v>3.3</v>
      </c>
      <c r="J17" s="5"/>
      <c r="K17">
        <v>3</v>
      </c>
      <c r="M17">
        <v>0.68169999999999997</v>
      </c>
      <c r="N17" s="5"/>
      <c r="O17" s="5"/>
      <c r="P17">
        <v>10</v>
      </c>
      <c r="R17">
        <v>0.5</v>
      </c>
      <c r="S17" s="5"/>
      <c r="T17" s="5"/>
      <c r="U17" s="5"/>
      <c r="V17">
        <v>4.5999999999999996</v>
      </c>
      <c r="W17" s="5"/>
    </row>
    <row r="18" spans="1:23">
      <c r="A18" t="s">
        <v>2</v>
      </c>
      <c r="B18" t="s">
        <v>3</v>
      </c>
      <c r="C18">
        <v>10.63</v>
      </c>
      <c r="D18">
        <v>95</v>
      </c>
      <c r="E18">
        <v>14</v>
      </c>
      <c r="F18" s="5"/>
      <c r="G18" s="5"/>
      <c r="H18" s="5"/>
      <c r="I18">
        <v>4.3</v>
      </c>
      <c r="J18" s="5"/>
      <c r="K18">
        <v>3.1</v>
      </c>
      <c r="M18">
        <v>0.34339999999999998</v>
      </c>
      <c r="N18" s="5"/>
      <c r="O18" s="5"/>
      <c r="P18">
        <v>10</v>
      </c>
      <c r="R18">
        <v>1.7</v>
      </c>
      <c r="S18" s="5"/>
      <c r="T18" s="5"/>
      <c r="U18" s="5"/>
      <c r="V18">
        <v>4.5</v>
      </c>
      <c r="W18" s="5"/>
    </row>
    <row r="19" spans="1:23">
      <c r="A19" t="s">
        <v>2</v>
      </c>
      <c r="B19" t="s">
        <v>3</v>
      </c>
      <c r="C19">
        <v>8.8800000000000008</v>
      </c>
      <c r="D19">
        <v>100</v>
      </c>
      <c r="E19">
        <v>11</v>
      </c>
      <c r="F19" s="5"/>
      <c r="G19" s="5"/>
      <c r="H19" s="5"/>
      <c r="I19">
        <v>4.4000000000000004</v>
      </c>
      <c r="J19" s="5"/>
      <c r="K19">
        <v>2</v>
      </c>
      <c r="M19">
        <v>0.44400000000000001</v>
      </c>
      <c r="N19" s="5"/>
      <c r="O19" s="5"/>
      <c r="P19">
        <v>10</v>
      </c>
      <c r="R19">
        <v>0.5</v>
      </c>
      <c r="S19" s="5"/>
      <c r="T19" s="5"/>
      <c r="U19" s="5"/>
      <c r="V19">
        <v>5.5</v>
      </c>
      <c r="W19" s="5"/>
    </row>
    <row r="20" spans="1:23">
      <c r="A20" t="s">
        <v>2</v>
      </c>
      <c r="B20" t="s">
        <v>3</v>
      </c>
      <c r="C20">
        <v>9.26</v>
      </c>
      <c r="D20">
        <v>108</v>
      </c>
      <c r="E20">
        <v>11</v>
      </c>
      <c r="F20" s="5"/>
      <c r="G20" s="5"/>
      <c r="H20" s="5"/>
      <c r="I20">
        <v>4.8</v>
      </c>
      <c r="J20" s="5"/>
      <c r="K20">
        <v>3.8</v>
      </c>
      <c r="M20">
        <v>0.4</v>
      </c>
      <c r="N20" s="5"/>
      <c r="O20" s="5"/>
      <c r="P20">
        <v>10</v>
      </c>
      <c r="R20">
        <v>1.3</v>
      </c>
      <c r="S20" s="5"/>
      <c r="T20" s="5"/>
      <c r="U20" s="5"/>
      <c r="V20">
        <v>4.7</v>
      </c>
      <c r="W20" s="5"/>
    </row>
    <row r="21" spans="1:23">
      <c r="A21" t="s">
        <v>2</v>
      </c>
      <c r="B21" t="s">
        <v>3</v>
      </c>
      <c r="C21">
        <v>9.74</v>
      </c>
      <c r="D21">
        <v>92</v>
      </c>
      <c r="E21">
        <v>12</v>
      </c>
      <c r="F21" s="5"/>
      <c r="G21" s="5"/>
      <c r="H21" s="5"/>
      <c r="I21">
        <v>3.2</v>
      </c>
      <c r="J21" s="5"/>
      <c r="K21">
        <v>3.8</v>
      </c>
      <c r="M21">
        <v>0.59140000000000004</v>
      </c>
      <c r="N21" s="5"/>
      <c r="O21" s="5"/>
      <c r="P21">
        <v>10</v>
      </c>
      <c r="R21">
        <v>1.3</v>
      </c>
      <c r="S21" s="5"/>
      <c r="T21" s="5"/>
      <c r="U21" s="5"/>
      <c r="V21">
        <v>5.4</v>
      </c>
      <c r="W21" s="5"/>
    </row>
    <row r="22" spans="1:23">
      <c r="A22" t="s">
        <v>2</v>
      </c>
      <c r="B22" t="s">
        <v>3</v>
      </c>
      <c r="C22">
        <v>10.42</v>
      </c>
      <c r="D22">
        <v>101</v>
      </c>
      <c r="E22">
        <v>12</v>
      </c>
      <c r="F22" s="5"/>
      <c r="G22" s="5"/>
      <c r="H22" s="5"/>
      <c r="I22">
        <v>4.3</v>
      </c>
      <c r="J22" s="5"/>
      <c r="K22">
        <v>2.2000000000000002</v>
      </c>
      <c r="M22">
        <v>0.37869999999999998</v>
      </c>
      <c r="N22" s="5"/>
      <c r="O22" s="5"/>
      <c r="P22">
        <v>10</v>
      </c>
      <c r="R22">
        <v>1.8</v>
      </c>
      <c r="S22" s="5"/>
      <c r="T22" s="5"/>
      <c r="U22" s="5"/>
      <c r="V22">
        <v>4.5999999999999996</v>
      </c>
      <c r="W22" s="5"/>
    </row>
    <row r="23" spans="1:23">
      <c r="A23" t="s">
        <v>2</v>
      </c>
      <c r="B23" t="s">
        <v>3</v>
      </c>
      <c r="C23">
        <v>10.28</v>
      </c>
      <c r="D23">
        <v>101</v>
      </c>
      <c r="E23">
        <v>11</v>
      </c>
      <c r="F23" s="5"/>
      <c r="G23" s="5"/>
      <c r="H23" s="5"/>
      <c r="I23">
        <v>3</v>
      </c>
      <c r="J23" s="5"/>
      <c r="K23">
        <v>2.2999999999999998</v>
      </c>
      <c r="M23">
        <v>0.53979999999999995</v>
      </c>
      <c r="N23" s="5"/>
      <c r="O23" s="5"/>
      <c r="P23">
        <v>10</v>
      </c>
      <c r="R23">
        <v>1.4</v>
      </c>
      <c r="S23" s="5"/>
      <c r="T23" s="5"/>
      <c r="U23" s="5"/>
      <c r="V23">
        <v>4.5999999999999996</v>
      </c>
      <c r="W23" s="5"/>
    </row>
    <row r="24" spans="1:23">
      <c r="A24" t="s">
        <v>2</v>
      </c>
      <c r="B24" t="s">
        <v>3</v>
      </c>
      <c r="C24">
        <v>9.2200000000000006</v>
      </c>
      <c r="D24">
        <v>104</v>
      </c>
      <c r="E24">
        <v>14</v>
      </c>
      <c r="F24" s="5"/>
      <c r="G24" s="5"/>
      <c r="H24" s="5"/>
      <c r="I24">
        <v>4.3</v>
      </c>
      <c r="J24" s="5"/>
      <c r="K24">
        <v>3.7</v>
      </c>
      <c r="M24">
        <v>0.53700000000000003</v>
      </c>
      <c r="N24" s="5"/>
      <c r="O24" s="5"/>
      <c r="P24">
        <v>10</v>
      </c>
      <c r="R24">
        <v>1.1000000000000001</v>
      </c>
      <c r="S24" s="5"/>
      <c r="T24" s="5"/>
      <c r="U24" s="5"/>
      <c r="V24">
        <v>4.4000000000000004</v>
      </c>
      <c r="W24" s="5"/>
    </row>
    <row r="25" spans="1:23">
      <c r="A25" t="s">
        <v>2</v>
      </c>
      <c r="B25" t="s">
        <v>3</v>
      </c>
      <c r="C25">
        <v>9.34</v>
      </c>
      <c r="D25">
        <v>96</v>
      </c>
      <c r="E25">
        <v>11</v>
      </c>
      <c r="F25" s="5"/>
      <c r="G25" s="5"/>
      <c r="H25" s="5"/>
      <c r="I25">
        <v>4.9000000000000004</v>
      </c>
      <c r="J25" s="5"/>
      <c r="K25">
        <v>2.8</v>
      </c>
      <c r="M25">
        <v>0.59199999999999997</v>
      </c>
      <c r="N25" s="5"/>
      <c r="O25" s="5"/>
      <c r="P25">
        <v>10</v>
      </c>
      <c r="R25">
        <v>1.3</v>
      </c>
      <c r="S25" s="5"/>
      <c r="T25" s="5"/>
      <c r="U25" s="5"/>
      <c r="V25">
        <v>5.6</v>
      </c>
      <c r="W25" s="5"/>
    </row>
    <row r="26" spans="1:23">
      <c r="A26" t="s">
        <v>2</v>
      </c>
      <c r="B26" t="s">
        <v>3</v>
      </c>
      <c r="C26">
        <v>9.7899999999999991</v>
      </c>
      <c r="D26">
        <v>114</v>
      </c>
      <c r="E26">
        <v>13</v>
      </c>
      <c r="F26" s="5"/>
      <c r="G26" s="5"/>
      <c r="H26" s="5"/>
      <c r="I26">
        <v>3.6</v>
      </c>
      <c r="J26" s="5"/>
      <c r="K26">
        <v>2</v>
      </c>
      <c r="M26">
        <v>0.625</v>
      </c>
      <c r="N26" s="5"/>
      <c r="O26" s="5"/>
      <c r="P26">
        <v>10</v>
      </c>
      <c r="R26">
        <v>0.4</v>
      </c>
      <c r="S26" s="5"/>
      <c r="T26" s="5"/>
      <c r="U26" s="5"/>
      <c r="V26">
        <v>4.7</v>
      </c>
      <c r="W26" s="5"/>
    </row>
    <row r="27" spans="1:23">
      <c r="A27" t="s">
        <v>2</v>
      </c>
      <c r="B27" t="s">
        <v>3</v>
      </c>
      <c r="C27">
        <v>9.31</v>
      </c>
      <c r="D27">
        <v>99</v>
      </c>
      <c r="E27">
        <v>13</v>
      </c>
      <c r="F27" s="5"/>
      <c r="G27" s="5"/>
      <c r="H27" s="5"/>
      <c r="I27">
        <v>3</v>
      </c>
      <c r="J27" s="5"/>
      <c r="K27">
        <v>3.9</v>
      </c>
      <c r="M27">
        <v>0.43330000000000002</v>
      </c>
      <c r="N27" s="5"/>
      <c r="O27" s="5"/>
      <c r="P27">
        <v>10</v>
      </c>
      <c r="R27">
        <v>1.9</v>
      </c>
      <c r="S27" s="5"/>
      <c r="T27" s="5"/>
      <c r="U27" s="5"/>
      <c r="V27">
        <v>5.7</v>
      </c>
      <c r="W27" s="5"/>
    </row>
    <row r="28" spans="1:23">
      <c r="A28" t="s">
        <v>2</v>
      </c>
      <c r="B28" t="s">
        <v>3</v>
      </c>
      <c r="C28">
        <v>9.32</v>
      </c>
      <c r="D28">
        <v>92</v>
      </c>
      <c r="E28">
        <v>11</v>
      </c>
      <c r="F28" s="5"/>
      <c r="G28" s="5"/>
      <c r="H28" s="5"/>
      <c r="I28">
        <v>3.3</v>
      </c>
      <c r="J28" s="5"/>
      <c r="K28">
        <v>3.1</v>
      </c>
      <c r="M28">
        <v>0.57420000000000004</v>
      </c>
      <c r="N28" s="5"/>
      <c r="O28" s="5"/>
      <c r="P28">
        <v>10</v>
      </c>
      <c r="R28">
        <v>1.4</v>
      </c>
      <c r="S28" s="5"/>
      <c r="T28" s="5"/>
      <c r="U28" s="5"/>
      <c r="V28">
        <v>5.5</v>
      </c>
      <c r="W28" s="5"/>
    </row>
    <row r="29" spans="1:23">
      <c r="A29" t="s">
        <v>2</v>
      </c>
      <c r="B29" t="s">
        <v>3</v>
      </c>
      <c r="C29">
        <v>10.69</v>
      </c>
      <c r="D29">
        <v>100</v>
      </c>
      <c r="E29">
        <v>10</v>
      </c>
      <c r="F29" s="5"/>
      <c r="G29" s="5"/>
      <c r="H29" s="5"/>
      <c r="I29">
        <v>4.8</v>
      </c>
      <c r="J29" s="5"/>
      <c r="K29">
        <v>3.5</v>
      </c>
      <c r="M29">
        <v>0.62</v>
      </c>
      <c r="N29" s="5"/>
      <c r="O29" s="5"/>
      <c r="P29">
        <v>10</v>
      </c>
      <c r="R29">
        <v>1.4</v>
      </c>
      <c r="S29" s="5"/>
      <c r="T29" s="5"/>
      <c r="U29" s="5"/>
      <c r="V29">
        <v>4.5</v>
      </c>
      <c r="W29" s="5"/>
    </row>
    <row r="30" spans="1:23">
      <c r="A30" t="s">
        <v>2</v>
      </c>
      <c r="B30" t="s">
        <v>3</v>
      </c>
      <c r="C30">
        <v>10.41</v>
      </c>
      <c r="D30">
        <v>103</v>
      </c>
      <c r="E30">
        <v>13</v>
      </c>
      <c r="F30" s="5"/>
      <c r="G30" s="5"/>
      <c r="H30" s="5"/>
      <c r="I30">
        <v>4.5999999999999996</v>
      </c>
      <c r="J30" s="5"/>
      <c r="K30">
        <v>3.3</v>
      </c>
      <c r="M30">
        <v>0.62180000000000002</v>
      </c>
      <c r="N30" s="5"/>
      <c r="O30" s="5"/>
      <c r="P30">
        <v>10</v>
      </c>
      <c r="R30">
        <v>1.6</v>
      </c>
      <c r="S30" s="5"/>
      <c r="T30" s="5"/>
      <c r="U30" s="5"/>
      <c r="V30">
        <v>4.7</v>
      </c>
      <c r="W30" s="5"/>
    </row>
    <row r="31" spans="1:23">
      <c r="A31" t="s">
        <v>2</v>
      </c>
      <c r="B31" t="s">
        <v>3</v>
      </c>
      <c r="C31">
        <v>13.08</v>
      </c>
      <c r="D31">
        <v>96</v>
      </c>
      <c r="E31">
        <v>12</v>
      </c>
      <c r="F31" s="5"/>
      <c r="G31" s="5"/>
      <c r="H31" s="5"/>
      <c r="I31">
        <v>4.2</v>
      </c>
      <c r="J31" s="5"/>
      <c r="K31">
        <v>2.1</v>
      </c>
      <c r="M31">
        <v>0.61539999999999995</v>
      </c>
      <c r="N31" s="5"/>
      <c r="O31" s="5"/>
      <c r="P31">
        <v>10</v>
      </c>
      <c r="R31">
        <v>1.1000000000000001</v>
      </c>
      <c r="S31" s="5"/>
      <c r="T31" s="5"/>
      <c r="U31" s="5"/>
      <c r="V31">
        <v>3.6</v>
      </c>
      <c r="W31" s="5"/>
    </row>
    <row r="32" spans="1:23">
      <c r="A32" t="s">
        <v>2</v>
      </c>
      <c r="B32" t="s">
        <v>3</v>
      </c>
      <c r="C32">
        <v>9.6199999999999992</v>
      </c>
      <c r="D32">
        <v>105</v>
      </c>
      <c r="E32">
        <v>12</v>
      </c>
      <c r="F32" s="5"/>
      <c r="G32" s="5"/>
      <c r="H32" s="5"/>
      <c r="I32">
        <v>4.5</v>
      </c>
      <c r="J32" s="5"/>
      <c r="K32">
        <v>2.4</v>
      </c>
      <c r="M32">
        <v>0.55549999999999999</v>
      </c>
      <c r="N32" s="5"/>
      <c r="O32" s="5"/>
      <c r="P32">
        <v>10</v>
      </c>
      <c r="R32">
        <v>0.2</v>
      </c>
      <c r="S32" s="5"/>
      <c r="T32" s="5"/>
      <c r="U32" s="5"/>
      <c r="V32">
        <v>4.4000000000000004</v>
      </c>
      <c r="W32" s="5"/>
    </row>
    <row r="33" spans="1:23">
      <c r="A33" t="s">
        <v>2</v>
      </c>
      <c r="B33" t="s">
        <v>3</v>
      </c>
      <c r="C33">
        <v>9.14</v>
      </c>
      <c r="D33">
        <v>111</v>
      </c>
      <c r="E33">
        <v>13</v>
      </c>
      <c r="F33" s="5"/>
      <c r="G33" s="5"/>
      <c r="H33" s="5"/>
      <c r="I33">
        <v>4.5</v>
      </c>
      <c r="J33" s="5"/>
      <c r="K33">
        <v>4</v>
      </c>
      <c r="M33">
        <v>0.51759999999999995</v>
      </c>
      <c r="N33" s="5"/>
      <c r="O33" s="5"/>
      <c r="P33">
        <v>10</v>
      </c>
      <c r="R33">
        <v>0.6</v>
      </c>
      <c r="S33" s="5"/>
      <c r="T33" s="5"/>
      <c r="U33" s="5"/>
      <c r="V33">
        <v>4.7</v>
      </c>
      <c r="W33" s="5"/>
    </row>
    <row r="34" spans="1:23">
      <c r="A34" t="s">
        <v>2</v>
      </c>
      <c r="B34" t="s">
        <v>3</v>
      </c>
      <c r="C34">
        <v>9.3699999999999992</v>
      </c>
      <c r="D34">
        <v>99</v>
      </c>
      <c r="E34">
        <v>13</v>
      </c>
      <c r="F34" s="5"/>
      <c r="G34" s="5"/>
      <c r="H34" s="5"/>
      <c r="I34">
        <v>3.8</v>
      </c>
      <c r="J34" s="5"/>
      <c r="K34">
        <v>2.2999999999999998</v>
      </c>
      <c r="M34">
        <v>0.33410000000000001</v>
      </c>
      <c r="N34" s="5"/>
      <c r="O34" s="5"/>
      <c r="P34">
        <v>10</v>
      </c>
      <c r="R34">
        <v>0.5</v>
      </c>
      <c r="S34" s="5"/>
      <c r="T34" s="5"/>
      <c r="U34" s="5"/>
      <c r="V34">
        <v>5.5</v>
      </c>
      <c r="W34" s="5"/>
    </row>
    <row r="35" spans="1:23">
      <c r="A35" t="s">
        <v>2</v>
      </c>
      <c r="B35" t="s">
        <v>3</v>
      </c>
      <c r="C35">
        <v>10.69</v>
      </c>
      <c r="D35">
        <v>94</v>
      </c>
      <c r="E35">
        <v>13</v>
      </c>
      <c r="F35" s="5"/>
      <c r="G35" s="5"/>
      <c r="H35" s="5"/>
      <c r="I35">
        <v>4.9000000000000004</v>
      </c>
      <c r="J35" s="5"/>
      <c r="K35">
        <v>3.5</v>
      </c>
      <c r="M35">
        <v>0.52259999999999995</v>
      </c>
      <c r="N35" s="5"/>
      <c r="O35" s="5"/>
      <c r="P35">
        <v>10</v>
      </c>
      <c r="R35">
        <v>1.2</v>
      </c>
      <c r="S35" s="5"/>
      <c r="T35" s="5"/>
      <c r="U35" s="5"/>
      <c r="V35">
        <v>4.5</v>
      </c>
      <c r="W35" s="5"/>
    </row>
    <row r="36" spans="1:23">
      <c r="A36" t="s">
        <v>2</v>
      </c>
      <c r="B36" t="s">
        <v>3</v>
      </c>
      <c r="C36">
        <v>11.01</v>
      </c>
      <c r="D36">
        <v>96</v>
      </c>
      <c r="E36">
        <v>13</v>
      </c>
      <c r="F36" s="5"/>
      <c r="G36" s="5"/>
      <c r="H36" s="5"/>
      <c r="I36">
        <v>3.9</v>
      </c>
      <c r="J36" s="5"/>
      <c r="K36">
        <v>2.2000000000000002</v>
      </c>
      <c r="M36">
        <v>0.52849999999999997</v>
      </c>
      <c r="N36" s="5"/>
      <c r="O36" s="5"/>
      <c r="P36">
        <v>10</v>
      </c>
      <c r="R36">
        <v>0.9</v>
      </c>
      <c r="S36" s="5"/>
      <c r="T36" s="5"/>
      <c r="U36" s="5"/>
      <c r="V36">
        <v>4.5</v>
      </c>
      <c r="W36" s="5"/>
    </row>
    <row r="37" spans="1:23">
      <c r="A37" t="s">
        <v>2</v>
      </c>
      <c r="B37" t="s">
        <v>3</v>
      </c>
      <c r="C37">
        <v>10.62</v>
      </c>
      <c r="D37">
        <v>108</v>
      </c>
      <c r="E37">
        <v>10</v>
      </c>
      <c r="F37" s="5"/>
      <c r="G37" s="5"/>
      <c r="H37" s="5"/>
      <c r="I37">
        <v>4.3</v>
      </c>
      <c r="J37" s="5"/>
      <c r="K37">
        <v>2.1</v>
      </c>
      <c r="M37">
        <v>0.5161</v>
      </c>
      <c r="N37" s="5"/>
      <c r="O37" s="5"/>
      <c r="P37">
        <v>10</v>
      </c>
      <c r="R37">
        <v>1.3</v>
      </c>
      <c r="S37" s="5"/>
      <c r="T37" s="5"/>
      <c r="U37" s="5"/>
      <c r="V37">
        <v>4.5999999999999996</v>
      </c>
      <c r="W37" s="5"/>
    </row>
    <row r="38" spans="1:23">
      <c r="A38" t="s">
        <v>2</v>
      </c>
      <c r="B38" t="s">
        <v>3</v>
      </c>
      <c r="C38">
        <v>9.2100000000000009</v>
      </c>
      <c r="D38">
        <v>102</v>
      </c>
      <c r="E38">
        <v>12</v>
      </c>
      <c r="F38" s="5"/>
      <c r="G38" s="5"/>
      <c r="H38" s="5"/>
      <c r="I38">
        <v>3.1</v>
      </c>
      <c r="J38" s="5"/>
      <c r="K38">
        <v>3.2</v>
      </c>
      <c r="M38">
        <v>0.63849999999999996</v>
      </c>
      <c r="N38" s="5"/>
      <c r="O38" s="5"/>
      <c r="P38">
        <v>10</v>
      </c>
      <c r="R38">
        <v>1.2</v>
      </c>
      <c r="S38" s="5"/>
      <c r="T38" s="5"/>
      <c r="U38" s="5"/>
      <c r="V38">
        <v>5.4</v>
      </c>
      <c r="W38" s="5"/>
    </row>
    <row r="39" spans="1:23">
      <c r="A39" t="s">
        <v>2</v>
      </c>
      <c r="B39" t="s">
        <v>3</v>
      </c>
      <c r="C39">
        <v>9.52</v>
      </c>
      <c r="D39">
        <v>111</v>
      </c>
      <c r="E39">
        <v>10</v>
      </c>
      <c r="F39" s="5"/>
      <c r="G39" s="5"/>
      <c r="H39" s="5"/>
      <c r="I39">
        <v>4.9000000000000004</v>
      </c>
      <c r="J39" s="5"/>
      <c r="K39">
        <v>2.8</v>
      </c>
      <c r="M39">
        <v>0.71879999999999999</v>
      </c>
      <c r="N39" s="5"/>
      <c r="O39" s="5"/>
      <c r="P39">
        <v>10</v>
      </c>
      <c r="R39">
        <v>1.8</v>
      </c>
      <c r="S39" s="5"/>
      <c r="T39" s="5"/>
      <c r="U39" s="5"/>
      <c r="V39">
        <v>4.5</v>
      </c>
      <c r="W39" s="5"/>
    </row>
    <row r="40" spans="1:23">
      <c r="A40" t="s">
        <v>2</v>
      </c>
      <c r="B40" t="s">
        <v>3</v>
      </c>
      <c r="C40">
        <v>10.220000000000001</v>
      </c>
      <c r="D40">
        <v>97</v>
      </c>
      <c r="E40">
        <v>12</v>
      </c>
      <c r="F40" s="5"/>
      <c r="G40" s="5"/>
      <c r="H40" s="5"/>
      <c r="I40">
        <v>4.7</v>
      </c>
      <c r="J40" s="5"/>
      <c r="K40">
        <v>2</v>
      </c>
      <c r="M40">
        <v>0.62429999999999997</v>
      </c>
      <c r="N40" s="5"/>
      <c r="O40" s="5"/>
      <c r="P40">
        <v>10</v>
      </c>
      <c r="R40">
        <v>0.6</v>
      </c>
      <c r="S40" s="5"/>
      <c r="T40" s="5"/>
      <c r="U40" s="5"/>
      <c r="V40">
        <v>4.4000000000000004</v>
      </c>
      <c r="W40" s="5"/>
    </row>
    <row r="41" spans="1:23">
      <c r="A41" t="s">
        <v>2</v>
      </c>
      <c r="B41" t="s">
        <v>3</v>
      </c>
      <c r="C41">
        <v>9.61</v>
      </c>
      <c r="D41">
        <v>104</v>
      </c>
      <c r="E41">
        <v>12</v>
      </c>
      <c r="F41" s="5"/>
      <c r="G41" s="5"/>
      <c r="H41" s="5"/>
      <c r="I41">
        <v>4.5</v>
      </c>
      <c r="J41" s="5"/>
      <c r="K41">
        <v>3.6</v>
      </c>
      <c r="M41">
        <v>0.40960000000000002</v>
      </c>
      <c r="N41" s="5"/>
      <c r="O41" s="5"/>
      <c r="P41">
        <v>10</v>
      </c>
      <c r="R41">
        <v>0.4</v>
      </c>
      <c r="S41" s="5"/>
      <c r="T41" s="5"/>
      <c r="U41" s="5"/>
      <c r="V41">
        <v>4.7</v>
      </c>
      <c r="W41" s="5"/>
    </row>
    <row r="42" spans="1:23">
      <c r="A42" t="s">
        <v>2</v>
      </c>
      <c r="B42" t="s">
        <v>3</v>
      </c>
      <c r="C42">
        <v>9.98</v>
      </c>
      <c r="D42">
        <v>101</v>
      </c>
      <c r="E42">
        <v>14</v>
      </c>
      <c r="F42" s="5"/>
      <c r="G42" s="5"/>
      <c r="H42" s="5"/>
      <c r="I42">
        <v>3.7</v>
      </c>
      <c r="J42" s="5"/>
      <c r="K42">
        <v>3.9</v>
      </c>
      <c r="M42">
        <v>0.64510000000000001</v>
      </c>
      <c r="N42" s="5"/>
      <c r="O42" s="5"/>
      <c r="P42">
        <v>10</v>
      </c>
      <c r="R42">
        <v>0.9</v>
      </c>
      <c r="S42" s="5"/>
      <c r="T42" s="5"/>
      <c r="U42" s="5"/>
      <c r="V42">
        <v>4.7</v>
      </c>
      <c r="W42" s="5"/>
    </row>
    <row r="43" spans="1:23">
      <c r="A43" t="s">
        <v>2</v>
      </c>
      <c r="B43" t="s">
        <v>3</v>
      </c>
      <c r="C43">
        <v>9.5299999999999994</v>
      </c>
      <c r="D43">
        <v>107</v>
      </c>
      <c r="E43">
        <v>12</v>
      </c>
      <c r="F43" s="5"/>
      <c r="G43" s="5"/>
      <c r="H43" s="5"/>
      <c r="I43">
        <v>3.6</v>
      </c>
      <c r="J43" s="5"/>
      <c r="K43">
        <v>3.8</v>
      </c>
      <c r="M43">
        <v>0.46920000000000001</v>
      </c>
      <c r="N43" s="5"/>
      <c r="O43" s="5"/>
      <c r="P43">
        <v>10</v>
      </c>
      <c r="R43">
        <v>0</v>
      </c>
      <c r="S43" s="5"/>
      <c r="T43" s="5"/>
      <c r="U43" s="5"/>
      <c r="V43">
        <v>4.7</v>
      </c>
      <c r="W43" s="5"/>
    </row>
    <row r="44" spans="1:23">
      <c r="A44" t="s">
        <v>2</v>
      </c>
      <c r="B44" t="s">
        <v>3</v>
      </c>
      <c r="C44">
        <v>10.26</v>
      </c>
      <c r="D44">
        <v>99</v>
      </c>
      <c r="E44">
        <v>12</v>
      </c>
      <c r="F44" s="5"/>
      <c r="G44" s="5"/>
      <c r="H44" s="5"/>
      <c r="I44">
        <v>4.3</v>
      </c>
      <c r="J44" s="5"/>
      <c r="K44">
        <v>2.9</v>
      </c>
      <c r="M44">
        <v>0.42670000000000002</v>
      </c>
      <c r="N44" s="5"/>
      <c r="O44" s="5"/>
      <c r="P44">
        <v>10</v>
      </c>
      <c r="R44">
        <v>0.7</v>
      </c>
      <c r="S44" s="5"/>
      <c r="T44" s="5"/>
      <c r="U44" s="5"/>
      <c r="V44">
        <v>4.5999999999999996</v>
      </c>
      <c r="W44" s="5"/>
    </row>
    <row r="45" spans="1:23">
      <c r="A45" t="s">
        <v>2</v>
      </c>
      <c r="B45" t="s">
        <v>3</v>
      </c>
      <c r="C45">
        <v>10.48</v>
      </c>
      <c r="D45">
        <v>103</v>
      </c>
      <c r="E45">
        <v>13</v>
      </c>
      <c r="F45" s="5"/>
      <c r="G45" s="5"/>
      <c r="H45" s="5"/>
      <c r="I45">
        <v>3.2</v>
      </c>
      <c r="J45" s="5"/>
      <c r="K45">
        <v>3</v>
      </c>
      <c r="M45">
        <v>0.3453</v>
      </c>
      <c r="N45" s="5"/>
      <c r="O45" s="5"/>
      <c r="P45">
        <v>10</v>
      </c>
      <c r="R45">
        <v>1.1000000000000001</v>
      </c>
      <c r="S45" s="5"/>
      <c r="T45" s="5"/>
      <c r="U45" s="5"/>
      <c r="V45">
        <v>4.5999999999999996</v>
      </c>
      <c r="W45" s="5"/>
    </row>
    <row r="46" spans="1:23">
      <c r="A46" t="s">
        <v>2</v>
      </c>
      <c r="B46" t="s">
        <v>3</v>
      </c>
      <c r="C46">
        <v>9.34</v>
      </c>
      <c r="D46">
        <v>98</v>
      </c>
      <c r="E46">
        <v>13</v>
      </c>
      <c r="F46" s="5"/>
      <c r="G46" s="5"/>
      <c r="H46" s="5"/>
      <c r="I46">
        <v>4.2</v>
      </c>
      <c r="J46" s="5"/>
      <c r="K46">
        <v>2.2000000000000002</v>
      </c>
      <c r="M46">
        <v>0.30199999999999999</v>
      </c>
      <c r="N46" s="5"/>
      <c r="O46" s="5"/>
      <c r="P46">
        <v>10</v>
      </c>
      <c r="R46">
        <v>1.4</v>
      </c>
      <c r="S46" s="5"/>
      <c r="T46" s="5"/>
      <c r="U46" s="5"/>
      <c r="V46">
        <v>5.3</v>
      </c>
      <c r="W46" s="5"/>
    </row>
    <row r="47" spans="1:23">
      <c r="A47" t="s">
        <v>2</v>
      </c>
      <c r="B47" t="s">
        <v>3</v>
      </c>
      <c r="C47">
        <v>9.5500000000000007</v>
      </c>
      <c r="D47">
        <v>98</v>
      </c>
      <c r="E47">
        <v>12</v>
      </c>
      <c r="F47" s="5"/>
      <c r="G47" s="5"/>
      <c r="H47" s="5"/>
      <c r="I47">
        <v>3.2</v>
      </c>
      <c r="J47" s="5"/>
      <c r="K47">
        <v>4</v>
      </c>
      <c r="M47">
        <v>0.42120000000000002</v>
      </c>
      <c r="N47" s="5"/>
      <c r="O47" s="5"/>
      <c r="P47">
        <v>10</v>
      </c>
      <c r="R47">
        <v>0.7</v>
      </c>
      <c r="S47" s="5"/>
      <c r="T47" s="5"/>
      <c r="U47" s="5"/>
      <c r="V47">
        <v>5.6</v>
      </c>
      <c r="W47" s="5"/>
    </row>
    <row r="48" spans="1:23">
      <c r="A48" t="s">
        <v>2</v>
      </c>
      <c r="B48" t="s">
        <v>3</v>
      </c>
      <c r="C48">
        <v>9.43</v>
      </c>
      <c r="D48">
        <v>99</v>
      </c>
      <c r="E48">
        <v>12</v>
      </c>
      <c r="F48" s="5"/>
      <c r="G48" s="5"/>
      <c r="H48" s="5"/>
      <c r="I48">
        <v>3.8</v>
      </c>
      <c r="J48" s="5"/>
      <c r="K48">
        <v>3.8</v>
      </c>
      <c r="M48">
        <v>0.31759999999999999</v>
      </c>
      <c r="N48" s="5"/>
      <c r="O48" s="5"/>
      <c r="P48">
        <v>10</v>
      </c>
      <c r="R48">
        <v>1</v>
      </c>
      <c r="S48" s="5"/>
      <c r="T48" s="5"/>
      <c r="U48" s="5"/>
      <c r="V48">
        <v>5.3</v>
      </c>
      <c r="W48" s="5"/>
    </row>
    <row r="49" spans="1:23">
      <c r="A49" t="s">
        <v>2</v>
      </c>
      <c r="B49" t="s">
        <v>3</v>
      </c>
      <c r="C49">
        <v>11.18</v>
      </c>
      <c r="D49">
        <v>102</v>
      </c>
      <c r="E49">
        <v>11</v>
      </c>
      <c r="F49" s="5"/>
      <c r="G49" s="5"/>
      <c r="H49" s="5"/>
      <c r="I49">
        <v>4.5</v>
      </c>
      <c r="J49" s="5"/>
      <c r="K49">
        <v>3.2</v>
      </c>
      <c r="M49">
        <v>0.7752</v>
      </c>
      <c r="N49" s="5"/>
      <c r="O49" s="5"/>
      <c r="P49">
        <v>10</v>
      </c>
      <c r="R49">
        <v>0.7</v>
      </c>
      <c r="S49" s="5"/>
      <c r="T49" s="5"/>
      <c r="U49" s="5"/>
      <c r="V49">
        <v>4.5</v>
      </c>
      <c r="W49" s="5"/>
    </row>
    <row r="50" spans="1:23">
      <c r="A50" t="s">
        <v>2</v>
      </c>
      <c r="B50" t="s">
        <v>3</v>
      </c>
      <c r="C50">
        <v>10.18</v>
      </c>
      <c r="D50">
        <v>100</v>
      </c>
      <c r="E50">
        <v>12</v>
      </c>
      <c r="F50" s="5"/>
      <c r="G50" s="5"/>
      <c r="H50" s="5"/>
      <c r="I50">
        <v>4.9000000000000004</v>
      </c>
      <c r="J50" s="5"/>
      <c r="K50">
        <v>3</v>
      </c>
      <c r="M50">
        <v>0.55989999999999995</v>
      </c>
      <c r="N50" s="5"/>
      <c r="O50" s="5"/>
      <c r="P50">
        <v>10</v>
      </c>
      <c r="R50">
        <v>1.4</v>
      </c>
      <c r="S50" s="5"/>
      <c r="T50" s="5"/>
      <c r="U50" s="5"/>
      <c r="V50">
        <v>4.5999999999999996</v>
      </c>
      <c r="W50" s="5"/>
    </row>
    <row r="51" spans="1:23">
      <c r="A51" t="s">
        <v>2</v>
      </c>
      <c r="B51" t="s">
        <v>3</v>
      </c>
      <c r="C51">
        <v>9.3800000000000008</v>
      </c>
      <c r="D51">
        <v>104</v>
      </c>
      <c r="E51">
        <v>12</v>
      </c>
      <c r="F51" s="5"/>
      <c r="G51" s="5"/>
      <c r="H51" s="5"/>
      <c r="I51">
        <v>3.1</v>
      </c>
      <c r="J51" s="5"/>
      <c r="K51">
        <v>2.6</v>
      </c>
      <c r="M51">
        <v>0.66369999999999996</v>
      </c>
      <c r="N51" s="5"/>
      <c r="O51" s="5"/>
      <c r="P51">
        <v>10</v>
      </c>
      <c r="R51">
        <v>1.8</v>
      </c>
      <c r="S51" s="5"/>
      <c r="T51" s="5"/>
      <c r="U51" s="5"/>
      <c r="V51">
        <v>4.5999999999999996</v>
      </c>
      <c r="W51" s="5"/>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observaciones_trabajo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fnjim</dc:creator>
  <cp:lastModifiedBy>JIMENEZ  FAUSTO NOE</cp:lastModifiedBy>
  <dcterms:created xsi:type="dcterms:W3CDTF">2024-10-23T22:55:01Z</dcterms:created>
  <dcterms:modified xsi:type="dcterms:W3CDTF">2024-10-24T00:07:13Z</dcterms:modified>
</cp:coreProperties>
</file>